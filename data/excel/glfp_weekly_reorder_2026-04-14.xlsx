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Re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595959"/>
      <sz val="9"/>
    </font>
    <font>
      <name val="Arial"/>
      <i val="1"/>
      <color rgb="00595959"/>
      <sz val="10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sz val="9"/>
    </font>
    <font>
      <name val="Arial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top style="thin"/>
      <bottom style="double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left"/>
    </xf>
    <xf numFmtId="0" fontId="7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6" fillId="0" borderId="1" pivotButton="0" quotePrefix="0" xfId="0"/>
    <xf numFmtId="0" fontId="6" fillId="0" borderId="1" applyAlignment="1" pivotButton="0" quotePrefix="0" xfId="0">
      <alignment vertical="center" wrapText="1"/>
    </xf>
    <xf numFmtId="3" fontId="6" fillId="0" borderId="1" applyAlignment="1" pivotButton="0" quotePrefix="0" xfId="0">
      <alignment horizontal="right"/>
    </xf>
    <xf numFmtId="164" fontId="6" fillId="0" borderId="1" pivotButton="0" quotePrefix="0" xfId="0"/>
    <xf numFmtId="0" fontId="5" fillId="0" borderId="0" applyAlignment="1" pivotButton="0" quotePrefix="0" xfId="0">
      <alignment horizontal="right"/>
    </xf>
    <xf numFmtId="164" fontId="5" fillId="0" borderId="1" pivotButton="0" quotePrefix="0" xfId="0"/>
    <xf numFmtId="0" fontId="6" fillId="0" borderId="0" applyAlignment="1" pivotButton="0" quotePrefix="0" xfId="0">
      <alignment horizontal="right"/>
    </xf>
    <xf numFmtId="164" fontId="6" fillId="0" borderId="0" pivotButton="0" quotePrefix="0" xfId="0"/>
    <xf numFmtId="0" fontId="8" fillId="0" borderId="0" applyAlignment="1" pivotButton="0" quotePrefix="0" xfId="0">
      <alignment horizontal="right"/>
    </xf>
    <xf numFmtId="164" fontId="8" fillId="0" borderId="2" pivotButton="0" quotePrefix="0" xfId="0"/>
    <xf numFmtId="0" fontId="0" fillId="0" borderId="0" applyAlignment="1" pivotButton="0" quotePrefix="0" xfId="0">
      <alignment vertical="top" wrapText="1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54" customWidth="1" min="3" max="3"/>
    <col width="8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GREAT LAKES FLUID POWER GROUP</t>
        </is>
      </c>
    </row>
    <row r="2">
      <c r="A2" s="2" t="inlineStr">
        <is>
          <t>1847 Leonard Street NW  •  Grand Rapids, MI 49504  •  (616) 458-7700</t>
        </is>
      </c>
    </row>
    <row r="3">
      <c r="A3" s="3" t="inlineStr">
        <is>
          <t>Weekly Reorder — Hydraulics &amp; Pneumatics</t>
        </is>
      </c>
    </row>
    <row r="5" ht="22" customHeight="1">
      <c r="A5" s="4" t="inlineStr">
        <is>
          <t>PURCHASE ORDER</t>
        </is>
      </c>
    </row>
    <row r="7">
      <c r="A7" s="5" t="inlineStr">
        <is>
          <t>PO Number:</t>
        </is>
      </c>
      <c r="B7" s="6" t="inlineStr">
        <is>
          <t>PO-2026-05847</t>
        </is>
      </c>
      <c r="E7" s="5" t="inlineStr">
        <is>
          <t>Buyer:</t>
        </is>
      </c>
      <c r="F7" s="7" t="inlineStr">
        <is>
          <t>David Vance</t>
        </is>
      </c>
    </row>
    <row r="8">
      <c r="A8" s="5" t="inlineStr">
        <is>
          <t>PO Date:</t>
        </is>
      </c>
      <c r="B8" s="6" t="inlineStr">
        <is>
          <t>04/14/2026</t>
        </is>
      </c>
      <c r="E8" s="5" t="inlineStr">
        <is>
          <t>Buyer Email:</t>
        </is>
      </c>
      <c r="F8" s="7" t="inlineStr">
        <is>
          <t>dvance@glfp.com</t>
        </is>
      </c>
    </row>
    <row r="9">
      <c r="A9" s="5" t="inlineStr">
        <is>
          <t>Required By:</t>
        </is>
      </c>
      <c r="B9" s="6" t="inlineStr">
        <is>
          <t>04/21/2026</t>
        </is>
      </c>
      <c r="E9" s="5" t="inlineStr">
        <is>
          <t>Buyer Phone:</t>
        </is>
      </c>
      <c r="F9" s="7" t="inlineStr">
        <is>
          <t>(616) 458-7720</t>
        </is>
      </c>
    </row>
    <row r="10">
      <c r="A10" s="5" t="inlineStr">
        <is>
          <t>Ship To:</t>
        </is>
      </c>
      <c r="B10" s="6" t="inlineStr">
        <is>
          <t>GLFP-GRR-MAIN</t>
        </is>
      </c>
      <c r="E10" s="5" t="inlineStr">
        <is>
          <t>Payment Terms:</t>
        </is>
      </c>
      <c r="F10" s="7" t="inlineStr">
        <is>
          <t>Net 30</t>
        </is>
      </c>
    </row>
    <row r="11">
      <c r="A11" s="5" t="inlineStr">
        <is>
          <t>Vendor:</t>
        </is>
      </c>
      <c r="B11" s="6" t="inlineStr">
        <is>
          <t>Grafton-Reese MRO</t>
        </is>
      </c>
      <c r="E11" s="5" t="inlineStr">
        <is>
          <t>Ship Via:</t>
        </is>
      </c>
      <c r="F11" s="7" t="inlineStr">
        <is>
          <t>Vendor routing</t>
        </is>
      </c>
    </row>
    <row r="13" ht="20" customHeight="1">
      <c r="A13" s="8" t="inlineStr">
        <is>
          <t>Line</t>
        </is>
      </c>
      <c r="B13" s="8" t="inlineStr">
        <is>
          <t>GLFP Part #</t>
        </is>
      </c>
      <c r="C13" s="8" t="inlineStr">
        <is>
          <t>Description</t>
        </is>
      </c>
      <c r="D13" s="8" t="inlineStr">
        <is>
          <t>Qty</t>
        </is>
      </c>
      <c r="E13" s="8" t="inlineStr">
        <is>
          <t>UOM</t>
        </is>
      </c>
      <c r="F13" s="8" t="inlineStr">
        <is>
          <t>Unit Price</t>
        </is>
      </c>
      <c r="G13" s="8" t="inlineStr">
        <is>
          <t>Ext. Price</t>
        </is>
      </c>
    </row>
    <row r="14" ht="18" customHeight="1">
      <c r="A14" s="9" t="n">
        <v>1</v>
      </c>
      <c r="B14" s="10" t="inlineStr">
        <is>
          <t>GLFP-04821</t>
        </is>
      </c>
      <c r="C14" s="11" t="inlineStr">
        <is>
          <t>JIC 37 Male Straight Adapter, -6 (9/16-18 UNF), Steel ZN</t>
        </is>
      </c>
      <c r="D14" s="12" t="n">
        <v>48</v>
      </c>
      <c r="E14" s="9" t="inlineStr">
        <is>
          <t>EA</t>
        </is>
      </c>
      <c r="F14" s="13" t="n">
        <v>3.08</v>
      </c>
      <c r="G14" s="13">
        <f>D14*F14</f>
        <v/>
      </c>
    </row>
    <row r="15" ht="18" customHeight="1">
      <c r="A15" s="9" t="n">
        <v>2</v>
      </c>
      <c r="B15" s="10" t="inlineStr">
        <is>
          <t>GLFP-04824</t>
        </is>
      </c>
      <c r="C15" s="11" t="inlineStr">
        <is>
          <t>JIC 37 Male Elbow 90 deg, -6 (9/16-18 UNF), Forged Steel</t>
        </is>
      </c>
      <c r="D15" s="12" t="n">
        <v>25</v>
      </c>
      <c r="E15" s="9" t="inlineStr">
        <is>
          <t>EA</t>
        </is>
      </c>
      <c r="F15" s="13" t="n">
        <v>7.82</v>
      </c>
      <c r="G15" s="13">
        <f>D15*F15</f>
        <v/>
      </c>
    </row>
    <row r="16" ht="18" customHeight="1">
      <c r="A16" s="9" t="n">
        <v>3</v>
      </c>
      <c r="B16" s="10" t="inlineStr">
        <is>
          <t>GLFP-04831</t>
        </is>
      </c>
      <c r="C16" s="11" t="inlineStr">
        <is>
          <t>JIC Male x NPT Male Adapter, -6 x 1/4in NPT, Steel</t>
        </is>
      </c>
      <c r="D16" s="12" t="n">
        <v>30</v>
      </c>
      <c r="E16" s="9" t="inlineStr">
        <is>
          <t>EA</t>
        </is>
      </c>
      <c r="F16" s="13" t="n">
        <v>3.75</v>
      </c>
      <c r="G16" s="13">
        <f>D16*F16</f>
        <v/>
      </c>
    </row>
    <row r="17" ht="18" customHeight="1">
      <c r="A17" s="9" t="n">
        <v>4</v>
      </c>
      <c r="B17" s="10" t="inlineStr">
        <is>
          <t>GLFP-04840</t>
        </is>
      </c>
      <c r="C17" s="11" t="inlineStr">
        <is>
          <t>SAE ORB Male Straight, -6 (9/16-18 UNF), Buna-N, Steel</t>
        </is>
      </c>
      <c r="D17" s="12" t="n">
        <v>22</v>
      </c>
      <c r="E17" s="9" t="inlineStr">
        <is>
          <t>EA</t>
        </is>
      </c>
      <c r="F17" s="13" t="n">
        <v>5.02</v>
      </c>
      <c r="G17" s="13">
        <f>D17*F17</f>
        <v/>
      </c>
    </row>
    <row r="18" ht="18" customHeight="1">
      <c r="A18" s="9" t="n">
        <v>5</v>
      </c>
      <c r="B18" s="10" t="inlineStr">
        <is>
          <t>GLFP-05110</t>
        </is>
      </c>
      <c r="C18" s="11" t="inlineStr">
        <is>
          <t>Hydraulic Hose SAE 100R2AT, -6 (3/8 ID), 2-Wire</t>
        </is>
      </c>
      <c r="D18" s="12" t="n">
        <v>175</v>
      </c>
      <c r="E18" s="9" t="inlineStr">
        <is>
          <t>FT</t>
        </is>
      </c>
      <c r="F18" s="13" t="n">
        <v>3.47</v>
      </c>
      <c r="G18" s="13">
        <f>D18*F18</f>
        <v/>
      </c>
    </row>
    <row r="19" ht="18" customHeight="1">
      <c r="A19" s="9" t="n">
        <v>6</v>
      </c>
      <c r="B19" s="10" t="inlineStr">
        <is>
          <t>GLFP-05115</t>
        </is>
      </c>
      <c r="C19" s="11" t="inlineStr">
        <is>
          <t>Hydraulic Hose SAE 100R2AT, -8 (1/2 ID), 2-Wire</t>
        </is>
      </c>
      <c r="D19" s="12" t="n">
        <v>225</v>
      </c>
      <c r="E19" s="9" t="inlineStr">
        <is>
          <t>FT</t>
        </is>
      </c>
      <c r="F19" s="13" t="n">
        <v>4.58</v>
      </c>
      <c r="G19" s="13">
        <f>D19*F19</f>
        <v/>
      </c>
    </row>
    <row r="20" ht="18" customHeight="1">
      <c r="A20" s="9" t="n">
        <v>7</v>
      </c>
      <c r="B20" s="10" t="inlineStr">
        <is>
          <t>GLFP-05100</t>
        </is>
      </c>
      <c r="C20" s="11" t="inlineStr">
        <is>
          <t>Hydraulic Hose SAE 100R1AT, -4 (1/4 ID), 1-Wire</t>
        </is>
      </c>
      <c r="D20" s="12" t="n">
        <v>125</v>
      </c>
      <c r="E20" s="9" t="inlineStr">
        <is>
          <t>FT</t>
        </is>
      </c>
      <c r="F20" s="13" t="n">
        <v>2.05</v>
      </c>
      <c r="G20" s="13">
        <f>D20*F20</f>
        <v/>
      </c>
    </row>
    <row r="21" ht="18" customHeight="1">
      <c r="A21" s="9" t="n">
        <v>8</v>
      </c>
      <c r="B21" s="10" t="inlineStr">
        <is>
          <t>GLFP-05220</t>
        </is>
      </c>
      <c r="C21" s="11" t="inlineStr">
        <is>
          <t>Hose End Fitting, Female JIC Swivel -8, Crimp 2-Wire</t>
        </is>
      </c>
      <c r="D21" s="12" t="n">
        <v>60</v>
      </c>
      <c r="E21" s="9" t="inlineStr">
        <is>
          <t>EA</t>
        </is>
      </c>
      <c r="F21" s="13" t="n">
        <v>6.24</v>
      </c>
      <c r="G21" s="13">
        <f>D21*F21</f>
        <v/>
      </c>
    </row>
    <row r="22" ht="18" customHeight="1">
      <c r="A22" s="9" t="n">
        <v>9</v>
      </c>
      <c r="B22" s="10" t="inlineStr">
        <is>
          <t>GLFP-06010</t>
        </is>
      </c>
      <c r="C22" s="11" t="inlineStr">
        <is>
          <t>QD Coupler ISO 7241-A (AG), -6 Body x 3/8in NPT F, Steel</t>
        </is>
      </c>
      <c r="D22" s="12" t="n">
        <v>6</v>
      </c>
      <c r="E22" s="9" t="inlineStr">
        <is>
          <t>EA</t>
        </is>
      </c>
      <c r="F22" s="13" t="n">
        <v>29.15</v>
      </c>
      <c r="G22" s="13">
        <f>D22*F22</f>
        <v/>
      </c>
    </row>
    <row r="23" ht="18" customHeight="1">
      <c r="A23" s="9" t="n">
        <v>10</v>
      </c>
      <c r="B23" s="10" t="inlineStr">
        <is>
          <t>GLFP-06050</t>
        </is>
      </c>
      <c r="C23" s="11" t="inlineStr">
        <is>
          <t>Inline Check Valve, 1/2in NPT F, 5 PSI Crack, Steel</t>
        </is>
      </c>
      <c r="D23" s="12" t="n">
        <v>4</v>
      </c>
      <c r="E23" s="9" t="inlineStr">
        <is>
          <t>EA</t>
        </is>
      </c>
      <c r="F23" s="13" t="n">
        <v>25.8</v>
      </c>
      <c r="G23" s="13">
        <f>D23*F23</f>
        <v/>
      </c>
    </row>
    <row r="24" ht="18" customHeight="1">
      <c r="A24" s="9" t="n">
        <v>11</v>
      </c>
      <c r="B24" s="10" t="inlineStr">
        <is>
          <t>GLFP-11200</t>
        </is>
      </c>
      <c r="C24" s="11" t="inlineStr">
        <is>
          <t>QC Coupler Industrial M-Style, 1/4in NPT F, Steel</t>
        </is>
      </c>
      <c r="D24" s="12" t="n">
        <v>18</v>
      </c>
      <c r="E24" s="9" t="inlineStr">
        <is>
          <t>EA</t>
        </is>
      </c>
      <c r="F24" s="13" t="n">
        <v>6.45</v>
      </c>
      <c r="G24" s="13">
        <f>D24*F24</f>
        <v/>
      </c>
    </row>
    <row r="25" ht="18" customHeight="1">
      <c r="A25" s="9" t="n">
        <v>12</v>
      </c>
      <c r="B25" s="10" t="inlineStr">
        <is>
          <t>GLFP-11210</t>
        </is>
      </c>
      <c r="C25" s="11" t="inlineStr">
        <is>
          <t>QC Plug Industrial M-Style, 1/4in NPT M, Hardened Steel</t>
        </is>
      </c>
      <c r="D25" s="12" t="n">
        <v>24</v>
      </c>
      <c r="E25" s="9" t="inlineStr">
        <is>
          <t>EA</t>
        </is>
      </c>
      <c r="F25" s="13" t="n">
        <v>3.55</v>
      </c>
      <c r="G25" s="13">
        <f>D25*F25</f>
        <v/>
      </c>
    </row>
    <row r="27">
      <c r="F27" s="14" t="inlineStr">
        <is>
          <t>Subtotal</t>
        </is>
      </c>
      <c r="G27" s="15">
        <f>SUM(G14:G25)</f>
        <v/>
      </c>
    </row>
    <row r="28">
      <c r="F28" s="16" t="inlineStr">
        <is>
          <t>Tax (resale exempt)</t>
        </is>
      </c>
      <c r="G28" s="17" t="n">
        <v>0</v>
      </c>
    </row>
    <row r="29">
      <c r="F29" s="18" t="inlineStr">
        <is>
          <t>TOTAL</t>
        </is>
      </c>
      <c r="G29" s="19">
        <f>G27+G28</f>
        <v/>
      </c>
    </row>
    <row r="32">
      <c r="A32" s="5" t="inlineStr">
        <is>
          <t>Special Instructions:</t>
        </is>
      </c>
    </row>
    <row r="33" ht="32" customHeight="1">
      <c r="A33" s="20" t="inlineStr">
        <is>
          <t>Hose cut lengths acceptable. Consolidate to one shipment — do not split line 5/6/7 across multiple POs. If QD couplers (line 9) are backordered, notify D. Vance before substituting.</t>
        </is>
      </c>
    </row>
    <row r="34"/>
    <row r="36">
      <c r="A36" s="21" t="inlineStr">
        <is>
          <t>Authorized By: David Vance, Senior Buyer — Hydraulics</t>
        </is>
      </c>
    </row>
    <row r="37">
      <c r="A37" s="22" t="inlineStr">
        <is>
          <t>Electronic signature on file. PO valid without wet signature.</t>
        </is>
      </c>
    </row>
  </sheetData>
  <mergeCells count="15">
    <mergeCell ref="B10:D10"/>
    <mergeCell ref="B11:D11"/>
    <mergeCell ref="F11:G11"/>
    <mergeCell ref="A1:G1"/>
    <mergeCell ref="F10:G10"/>
    <mergeCell ref="A3:G3"/>
    <mergeCell ref="B8:D8"/>
    <mergeCell ref="A33:G34"/>
    <mergeCell ref="F7:G7"/>
    <mergeCell ref="B9:D9"/>
    <mergeCell ref="A2:G2"/>
    <mergeCell ref="B7:D7"/>
    <mergeCell ref="F9:G9"/>
    <mergeCell ref="A5:G5"/>
    <mergeCell ref="F8:G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2026-04-19T17:26:47Z</dcterms:created>
  <dcterms:modified xsi:type="dcterms:W3CDTF">2026-04-19T17:26:47Z</dcterms:modified>
</cp:coreProperties>
</file>